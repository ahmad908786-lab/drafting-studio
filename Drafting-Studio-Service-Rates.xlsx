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rvice Rates" state="visible" r:id="rId4"/>
    <sheet sheetId="2" name="By Category" state="visible" r:id="rId5"/>
  </sheets>
  <calcPr calcId="171027"/>
</workbook>
</file>

<file path=xl/sharedStrings.xml><?xml version="1.0" encoding="utf-8"?>
<sst xmlns="http://schemas.openxmlformats.org/spreadsheetml/2006/main" count="92" uniqueCount="58">
  <si>
    <t>Drafting Studio — Service Rate Card</t>
  </si>
  <si>
    <t>2D AutoCAD drafting — MEP, fire protection &amp; lighting. Prices are starting rates in USD; see the Price Basis column for what each covers.</t>
  </si>
  <si>
    <t>Source: Drafting Studio service database. Generated 2026-09-09. 13 active services.</t>
  </si>
  <si>
    <t>#</t>
  </si>
  <si>
    <t>Service</t>
  </si>
  <si>
    <t>Category</t>
  </si>
  <si>
    <t>Also listed under</t>
  </si>
  <si>
    <t>Disciplines</t>
  </si>
  <si>
    <t>Turnaround (days)</t>
  </si>
  <si>
    <t>Starting price (USD)</t>
  </si>
  <si>
    <t>Price basis</t>
  </si>
  <si>
    <t>Electrical System Design</t>
  </si>
  <si>
    <t>Electrical Design</t>
  </si>
  <si>
    <t>—</t>
  </si>
  <si>
    <t>Electrical</t>
  </si>
  <si>
    <t>Per floor, up to 10,000 sq ft. Larger areas quoted on scope.</t>
  </si>
  <si>
    <t>Site Electrical Plan</t>
  </si>
  <si>
    <t>Per site plan. Complex utility coordination quoted separately.</t>
  </si>
  <si>
    <t>Single Line Diagram</t>
  </si>
  <si>
    <t>Per single line diagram. Multi-service buildings quoted on scope.</t>
  </si>
  <si>
    <t>Power Upgrade</t>
  </si>
  <si>
    <t>Per service upgrade. Multi-meter and multi-tenant buildings quoted on scope.</t>
  </si>
  <si>
    <t>Lighting Design</t>
  </si>
  <si>
    <t>Lighting</t>
  </si>
  <si>
    <t>Per floor up to 10,000 sq ft. Fixtures specified by client or per allowance.</t>
  </si>
  <si>
    <t>Photometric Design</t>
  </si>
  <si>
    <t>Calculations &amp; Reports</t>
  </si>
  <si>
    <t>Per area up to 15,000 sq ft. Delivered per IES standards.</t>
  </si>
  <si>
    <t>Fire Alarm System Design</t>
  </si>
  <si>
    <t>Fire Protection</t>
  </si>
  <si>
    <t>Electrical, Fire Protection</t>
  </si>
  <si>
    <t>Per floor up to 12,000 sq ft. Voice/mass-notification quoted separately.</t>
  </si>
  <si>
    <t>Mechanical Design</t>
  </si>
  <si>
    <t>HVAC, Plumbing</t>
  </si>
  <si>
    <t>Combined HVAC + plumbing scope; per floor up to 10,000 sq ft.</t>
  </si>
  <si>
    <t>HVAC Design</t>
  </si>
  <si>
    <t>HVAC</t>
  </si>
  <si>
    <t>Per floor up to 10,000 sq ft. Load calc available as add-on.</t>
  </si>
  <si>
    <t>Plumbing Design</t>
  </si>
  <si>
    <t>Plumbing</t>
  </si>
  <si>
    <t>Per floor up to 10,000 sq ft.</t>
  </si>
  <si>
    <t>Sprinkler Layout Plan</t>
  </si>
  <si>
    <t>Per floor up to 12,000 sq ft.</t>
  </si>
  <si>
    <t>Electrical Load Calculation</t>
  </si>
  <si>
    <t>Per service / building. Multi-tenant quoted per scope.</t>
  </si>
  <si>
    <t>HVAC Heating &amp; Cooling Load</t>
  </si>
  <si>
    <t>Per zone/building up to 10,000 sq ft. Larger scopes quoted.</t>
  </si>
  <si>
    <t>Summary</t>
  </si>
  <si>
    <t>Average across all services</t>
  </si>
  <si>
    <t>Lowest / highest</t>
  </si>
  <si>
    <t>Note: "Starting price" is the from-price shown on the website. Final quotes depend on scope, area and jurisdiction.</t>
  </si>
  <si>
    <t>Rates by category</t>
  </si>
  <si>
    <t>Services</t>
  </si>
  <si>
    <t>Avg starting price</t>
  </si>
  <si>
    <t>Combined starting price</t>
  </si>
  <si>
    <t>Avg turnaround (days)</t>
  </si>
  <si>
    <t>All services</t>
  </si>
  <si>
    <t>Counts use each service's primary category. Cross-listed services are counted once, under their primary category.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</si>
</sst>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13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i/>
      <color rgb="FF475569"/>
      <sz val="10"/>
      <name val="Arial"/>
    </font>
    <font>
      <color rgb="FF64748B"/>
      <sz val="9"/>
      <name val="Arial"/>
    </font>
    <font>
      <b/>
      <color rgb="FFFFFFFF"/>
      <sz val="10"/>
      <name val="Arial"/>
    </font>
    <font>
      <sz val="10"/>
      <name val="Arial"/>
    </font>
    <font>
      <b/>
      <sz val="10"/>
      <name val="Arial"/>
    </font>
    <font>
      <color rgb="FF64748B"/>
      <sz val="10"/>
      <name val="Arial"/>
    </font>
    <font>
      <color rgb="FF475569"/>
      <sz val="9"/>
      <name val="Arial"/>
    </font>
    <font>
      <i/>
      <sz val="9"/>
      <name val="Arial"/>
    </font>
    <font>
      <i/>
      <color rgb="FF475569"/>
      <sz val="9"/>
      <name val="Arial"/>
    </font>
    <font>
      <i/>
      <color rgb="FF64748B"/>
      <sz val="9"/>
      <name val="Arial"/>
    </font>
    <font>
      <b/>
      <color rgb="FFFFFFFF"/>
      <sz val="14"/>
      <name val="Arial"/>
    </font>
  </fonts>
  <fills count="5">
    <fill>
      <patternFill patternType="none"/>
    </fill>
    <fill>
      <patternFill patternType="gray125"/>
    </fill>
    <fill>
      <patternFill patternType="solid">
        <fgColor rgb="FF0F1E3D"/>
      </patternFill>
    </fill>
    <fill>
      <patternFill patternType="solid">
        <fgColor rgb="FFF1F5F9"/>
      </patternFill>
    </fill>
    <fill>
      <patternFill patternType="solid">
        <fgColor rgb="FFFDE68A"/>
      </patternFill>
    </fill>
  </fills>
  <borders count="4">
    <border>
      <left/>
      <right/>
      <top/>
      <bottom/>
      <diagonal/>
    </border>
    <border>
      <left/>
      <right/>
      <top/>
      <bottom style="thin">
        <color rgb="FF0F1E3D"/>
      </bottom>
      <diagonal/>
    </border>
    <border>
      <left/>
      <right/>
      <top/>
      <bottom style="hair">
        <color rgb="FFCBD5E1"/>
      </bottom>
      <diagonal/>
    </border>
    <border>
      <left/>
      <right/>
      <top style="thin">
        <color rgb="FF0F1E3D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 indent="1"/>
    </xf>
    <xf numFmtId="0" fontId="3" fillId="0" borderId="0" xfId="0" applyFont="1" applyAlignment="1">
      <alignment vertical="center" inden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164" fontId="5" fillId="0" borderId="2" xfId="0" applyNumberFormat="1" applyFont="1" applyBorder="1" applyAlignment="1">
      <alignment horizontal="center" vertical="top"/>
    </xf>
    <xf numFmtId="0" fontId="8" fillId="0" borderId="2" xfId="0" applyFont="1" applyBorder="1" applyAlignment="1">
      <alignment horizontal="left" vertical="top" wrapText="1"/>
    </xf>
    <xf numFmtId="0" fontId="5" fillId="3" borderId="2" xfId="0" applyFont="1" applyFill="1" applyBorder="1" applyAlignment="1">
      <alignment horizontal="center" vertical="top"/>
    </xf>
    <xf numFmtId="0" fontId="6" fillId="3" borderId="2" xfId="0" applyFont="1" applyFill="1" applyBorder="1" applyAlignment="1">
      <alignment horizontal="left" vertical="top"/>
    </xf>
    <xf numFmtId="0" fontId="5" fillId="3" borderId="2" xfId="0" applyFont="1" applyFill="1" applyBorder="1" applyAlignment="1">
      <alignment horizontal="left" vertical="top"/>
    </xf>
    <xf numFmtId="0" fontId="7" fillId="3" borderId="2" xfId="0" applyFont="1" applyFill="1" applyBorder="1" applyAlignment="1">
      <alignment horizontal="left" vertical="top"/>
    </xf>
    <xf numFmtId="164" fontId="5" fillId="3" borderId="2" xfId="0" applyNumberFormat="1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left" vertical="top" wrapText="1"/>
    </xf>
    <xf numFmtId="0" fontId="6" fillId="4" borderId="3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center" vertical="center"/>
    </xf>
    <xf numFmtId="164" fontId="6" fillId="4" borderId="3" xfId="0" applyNumberFormat="1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0" fontId="12" fillId="2" borderId="0" xfId="0" applyFont="1" applyFill="1" applyAlignment="1">
      <alignment vertical="center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6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164" fontId="5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2" customWidth="1"/>
    <col min="3" max="3" width="24" customWidth="1"/>
    <col min="4" max="4" width="22" customWidth="1"/>
    <col min="5" max="5" width="24" customWidth="1"/>
    <col min="6" max="6" width="13" customWidth="1"/>
    <col min="7" max="7" width="16" customWidth="1"/>
    <col min="8" max="8" width="62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5" ht="30" customHeight="1" spans="1:8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5" t="s">
        <v>8</v>
      </c>
      <c r="G5" s="5" t="s">
        <v>9</v>
      </c>
      <c r="H5" s="5" t="s">
        <v>10</v>
      </c>
    </row>
    <row r="6" ht="26" customHeight="1" spans="1:8" x14ac:dyDescent="0.25">
      <c r="A6" s="6">
        <v>1</v>
      </c>
      <c r="B6" s="7" t="s">
        <v>11</v>
      </c>
      <c r="C6" s="8" t="s">
        <v>12</v>
      </c>
      <c r="D6" s="9" t="s">
        <v>13</v>
      </c>
      <c r="E6" s="8" t="s">
        <v>14</v>
      </c>
      <c r="F6" s="6">
        <v>5</v>
      </c>
      <c r="G6" s="10">
        <v>450</v>
      </c>
      <c r="H6" s="11" t="s">
        <v>15</v>
      </c>
    </row>
    <row r="7" ht="26" customHeight="1" spans="1:8" x14ac:dyDescent="0.25">
      <c r="A7" s="12">
        <v>2</v>
      </c>
      <c r="B7" s="13" t="s">
        <v>16</v>
      </c>
      <c r="C7" s="14" t="s">
        <v>12</v>
      </c>
      <c r="D7" s="15" t="s">
        <v>13</v>
      </c>
      <c r="E7" s="14" t="s">
        <v>14</v>
      </c>
      <c r="F7" s="12">
        <v>5</v>
      </c>
      <c r="G7" s="16">
        <v>400</v>
      </c>
      <c r="H7" s="17" t="s">
        <v>17</v>
      </c>
    </row>
    <row r="8" ht="26" customHeight="1" spans="1:8" x14ac:dyDescent="0.25">
      <c r="A8" s="6">
        <v>3</v>
      </c>
      <c r="B8" s="7" t="s">
        <v>18</v>
      </c>
      <c r="C8" s="8" t="s">
        <v>12</v>
      </c>
      <c r="D8" s="9" t="s">
        <v>13</v>
      </c>
      <c r="E8" s="8" t="s">
        <v>14</v>
      </c>
      <c r="F8" s="6">
        <v>3</v>
      </c>
      <c r="G8" s="10">
        <v>250</v>
      </c>
      <c r="H8" s="11" t="s">
        <v>19</v>
      </c>
    </row>
    <row r="9" ht="26" customHeight="1" spans="1:8" x14ac:dyDescent="0.25">
      <c r="A9" s="12">
        <v>4</v>
      </c>
      <c r="B9" s="13" t="s">
        <v>20</v>
      </c>
      <c r="C9" s="14" t="s">
        <v>12</v>
      </c>
      <c r="D9" s="15" t="s">
        <v>13</v>
      </c>
      <c r="E9" s="14" t="s">
        <v>14</v>
      </c>
      <c r="F9" s="12">
        <v>5</v>
      </c>
      <c r="G9" s="16">
        <v>550</v>
      </c>
      <c r="H9" s="17" t="s">
        <v>21</v>
      </c>
    </row>
    <row r="10" ht="26" customHeight="1" spans="1:8" x14ac:dyDescent="0.25">
      <c r="A10" s="6">
        <v>5</v>
      </c>
      <c r="B10" s="7" t="s">
        <v>22</v>
      </c>
      <c r="C10" s="8" t="s">
        <v>12</v>
      </c>
      <c r="D10" s="9" t="s">
        <v>13</v>
      </c>
      <c r="E10" s="8" t="s">
        <v>23</v>
      </c>
      <c r="F10" s="6">
        <v>5</v>
      </c>
      <c r="G10" s="10">
        <v>400</v>
      </c>
      <c r="H10" s="11" t="s">
        <v>24</v>
      </c>
    </row>
    <row r="11" ht="26" customHeight="1" spans="1:8" x14ac:dyDescent="0.25">
      <c r="A11" s="12">
        <v>6</v>
      </c>
      <c r="B11" s="13" t="s">
        <v>25</v>
      </c>
      <c r="C11" s="14" t="s">
        <v>12</v>
      </c>
      <c r="D11" s="15" t="s">
        <v>26</v>
      </c>
      <c r="E11" s="14" t="s">
        <v>23</v>
      </c>
      <c r="F11" s="12">
        <v>5</v>
      </c>
      <c r="G11" s="16">
        <v>500</v>
      </c>
      <c r="H11" s="17" t="s">
        <v>27</v>
      </c>
    </row>
    <row r="12" ht="26" customHeight="1" spans="1:8" x14ac:dyDescent="0.25">
      <c r="A12" s="6">
        <v>7</v>
      </c>
      <c r="B12" s="7" t="s">
        <v>28</v>
      </c>
      <c r="C12" s="8" t="s">
        <v>12</v>
      </c>
      <c r="D12" s="9" t="s">
        <v>29</v>
      </c>
      <c r="E12" s="8" t="s">
        <v>30</v>
      </c>
      <c r="F12" s="6">
        <v>6</v>
      </c>
      <c r="G12" s="10">
        <v>500</v>
      </c>
      <c r="H12" s="11" t="s">
        <v>31</v>
      </c>
    </row>
    <row r="13" ht="26" customHeight="1" spans="1:8" x14ac:dyDescent="0.25">
      <c r="A13" s="12">
        <v>8</v>
      </c>
      <c r="B13" s="13" t="s">
        <v>32</v>
      </c>
      <c r="C13" s="14" t="s">
        <v>32</v>
      </c>
      <c r="D13" s="15" t="s">
        <v>13</v>
      </c>
      <c r="E13" s="14" t="s">
        <v>33</v>
      </c>
      <c r="F13" s="12">
        <v>6</v>
      </c>
      <c r="G13" s="16">
        <v>600</v>
      </c>
      <c r="H13" s="17" t="s">
        <v>34</v>
      </c>
    </row>
    <row r="14" ht="26" customHeight="1" spans="1:8" x14ac:dyDescent="0.25">
      <c r="A14" s="6">
        <v>9</v>
      </c>
      <c r="B14" s="7" t="s">
        <v>35</v>
      </c>
      <c r="C14" s="8" t="s">
        <v>32</v>
      </c>
      <c r="D14" s="9" t="s">
        <v>13</v>
      </c>
      <c r="E14" s="8" t="s">
        <v>36</v>
      </c>
      <c r="F14" s="6">
        <v>6</v>
      </c>
      <c r="G14" s="10">
        <v>500</v>
      </c>
      <c r="H14" s="11" t="s">
        <v>37</v>
      </c>
    </row>
    <row r="15" ht="26" customHeight="1" spans="1:8" x14ac:dyDescent="0.25">
      <c r="A15" s="12">
        <v>10</v>
      </c>
      <c r="B15" s="13" t="s">
        <v>38</v>
      </c>
      <c r="C15" s="14" t="s">
        <v>32</v>
      </c>
      <c r="D15" s="15" t="s">
        <v>13</v>
      </c>
      <c r="E15" s="14" t="s">
        <v>39</v>
      </c>
      <c r="F15" s="12">
        <v>6</v>
      </c>
      <c r="G15" s="16">
        <v>500</v>
      </c>
      <c r="H15" s="17" t="s">
        <v>40</v>
      </c>
    </row>
    <row r="16" ht="26" customHeight="1" spans="1:8" x14ac:dyDescent="0.25">
      <c r="A16" s="6">
        <v>11</v>
      </c>
      <c r="B16" s="7" t="s">
        <v>41</v>
      </c>
      <c r="C16" s="8" t="s">
        <v>29</v>
      </c>
      <c r="D16" s="9" t="s">
        <v>13</v>
      </c>
      <c r="E16" s="8" t="s">
        <v>29</v>
      </c>
      <c r="F16" s="6">
        <v>6</v>
      </c>
      <c r="G16" s="10">
        <v>500</v>
      </c>
      <c r="H16" s="11" t="s">
        <v>42</v>
      </c>
    </row>
    <row r="17" ht="26" customHeight="1" spans="1:8" x14ac:dyDescent="0.25">
      <c r="A17" s="12">
        <v>12</v>
      </c>
      <c r="B17" s="13" t="s">
        <v>43</v>
      </c>
      <c r="C17" s="14" t="s">
        <v>26</v>
      </c>
      <c r="D17" s="15" t="s">
        <v>13</v>
      </c>
      <c r="E17" s="14" t="s">
        <v>14</v>
      </c>
      <c r="F17" s="12">
        <v>4</v>
      </c>
      <c r="G17" s="16">
        <v>300</v>
      </c>
      <c r="H17" s="17" t="s">
        <v>44</v>
      </c>
    </row>
    <row r="18" ht="26" customHeight="1" spans="1:8" x14ac:dyDescent="0.25">
      <c r="A18" s="6">
        <v>13</v>
      </c>
      <c r="B18" s="7" t="s">
        <v>45</v>
      </c>
      <c r="C18" s="8" t="s">
        <v>26</v>
      </c>
      <c r="D18" s="9" t="s">
        <v>13</v>
      </c>
      <c r="E18" s="8" t="s">
        <v>36</v>
      </c>
      <c r="F18" s="6">
        <v>4</v>
      </c>
      <c r="G18" s="10">
        <v>350</v>
      </c>
      <c r="H18" s="11" t="s">
        <v>46</v>
      </c>
    </row>
    <row r="19" ht="22" customHeight="1" spans="2:8" x14ac:dyDescent="0.25">
      <c r="B19" s="18" t="s">
        <v>47</v>
      </c>
      <c r="F19" s="19">
        <f>ROUND(AVERAGE(F6:F18),1)</f>
      </c>
      <c r="G19" s="20">
        <f>ROUND(AVERAGE(G6:G18),0)</f>
      </c>
      <c r="H19" s="21" t="s">
        <v>48</v>
      </c>
    </row>
    <row r="20" spans="2:8" x14ac:dyDescent="0.25">
      <c r="B20" s="22" t="s">
        <v>49</v>
      </c>
      <c r="F20" s="23">
        <f>MIN(F6:F18)</f>
      </c>
      <c r="G20" s="24">
        <f>MIN(G6:G18)</f>
      </c>
      <c r="H20" s="25">
        <f>"Range: $"&amp;MIN(G6:G18)&amp;" to $"&amp;MAX(G6:G18)&amp;" — "&amp;MIN(F6:F18)&amp;" to "&amp;MAX(F6:F18)&amp;" days"</f>
      </c>
    </row>
    <row r="22" spans="2:2" x14ac:dyDescent="0.25">
      <c r="B22" s="26" t="s">
        <v>50</v>
      </c>
    </row>
  </sheetData>
  <autoFilter ref="A5:H18"/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26" customWidth="1"/>
    <col min="2" max="2" width="12" customWidth="1"/>
    <col min="3" max="4" width="18" customWidth="1"/>
    <col min="5" max="5" width="20" customWidth="1"/>
  </cols>
  <sheetData>
    <row r="1" ht="26" customHeight="1" spans="1:5" x14ac:dyDescent="0.25">
      <c r="A1" s="27" t="s">
        <v>51</v>
      </c>
      <c r="B1" s="27"/>
      <c r="C1" s="27"/>
      <c r="D1" s="27"/>
      <c r="E1" s="27"/>
    </row>
    <row r="3" ht="28" customHeight="1" spans="1:5" x14ac:dyDescent="0.25">
      <c r="A3" s="28" t="s">
        <v>5</v>
      </c>
      <c r="B3" s="29" t="s">
        <v>52</v>
      </c>
      <c r="C3" s="29" t="s">
        <v>53</v>
      </c>
      <c r="D3" s="29" t="s">
        <v>54</v>
      </c>
      <c r="E3" s="29" t="s">
        <v>55</v>
      </c>
    </row>
    <row r="4" ht="22" customHeight="1" spans="1:5" x14ac:dyDescent="0.25">
      <c r="A4" s="30" t="s">
        <v>12</v>
      </c>
      <c r="B4" s="31">
        <f>COUNTIFS('Service Rates'!$C$6:$C$18,A4)</f>
      </c>
      <c r="C4" s="32">
        <f>ROUND(AVERAGEIFS('Service Rates'!$G$6:$G$18,'Service Rates'!$C$6:$C$18,A4),0)</f>
      </c>
      <c r="D4" s="32">
        <f>SUMIFS('Service Rates'!$G$6:$G$18,'Service Rates'!$C$6:$C$18,A4)</f>
      </c>
      <c r="E4" s="31">
        <f>ROUND(AVERAGEIFS('Service Rates'!$F$6:$F$18,'Service Rates'!$C$6:$C$18,A4),1)</f>
      </c>
    </row>
    <row r="5" ht="22" customHeight="1" spans="1:5" x14ac:dyDescent="0.25">
      <c r="A5" s="33" t="s">
        <v>32</v>
      </c>
      <c r="B5" s="34">
        <f>COUNTIFS('Service Rates'!$C$6:$C$18,A5)</f>
      </c>
      <c r="C5" s="35">
        <f>ROUND(AVERAGEIFS('Service Rates'!$G$6:$G$18,'Service Rates'!$C$6:$C$18,A5),0)</f>
      </c>
      <c r="D5" s="35">
        <f>SUMIFS('Service Rates'!$G$6:$G$18,'Service Rates'!$C$6:$C$18,A5)</f>
      </c>
      <c r="E5" s="34">
        <f>ROUND(AVERAGEIFS('Service Rates'!$F$6:$F$18,'Service Rates'!$C$6:$C$18,A5),1)</f>
      </c>
    </row>
    <row r="6" ht="22" customHeight="1" spans="1:5" x14ac:dyDescent="0.25">
      <c r="A6" s="30" t="s">
        <v>29</v>
      </c>
      <c r="B6" s="31">
        <f>COUNTIFS('Service Rates'!$C$6:$C$18,A6)</f>
      </c>
      <c r="C6" s="32">
        <f>ROUND(AVERAGEIFS('Service Rates'!$G$6:$G$18,'Service Rates'!$C$6:$C$18,A6),0)</f>
      </c>
      <c r="D6" s="32">
        <f>SUMIFS('Service Rates'!$G$6:$G$18,'Service Rates'!$C$6:$C$18,A6)</f>
      </c>
      <c r="E6" s="31">
        <f>ROUND(AVERAGEIFS('Service Rates'!$F$6:$F$18,'Service Rates'!$C$6:$C$18,A6),1)</f>
      </c>
    </row>
    <row r="7" ht="22" customHeight="1" spans="1:5" x14ac:dyDescent="0.25">
      <c r="A7" s="33" t="s">
        <v>26</v>
      </c>
      <c r="B7" s="34">
        <f>COUNTIFS('Service Rates'!$C$6:$C$18,A7)</f>
      </c>
      <c r="C7" s="35">
        <f>ROUND(AVERAGEIFS('Service Rates'!$G$6:$G$18,'Service Rates'!$C$6:$C$18,A7),0)</f>
      </c>
      <c r="D7" s="35">
        <f>SUMIFS('Service Rates'!$G$6:$G$18,'Service Rates'!$C$6:$C$18,A7)</f>
      </c>
      <c r="E7" s="34">
        <f>ROUND(AVERAGEIFS('Service Rates'!$F$6:$F$18,'Service Rates'!$C$6:$C$18,A7),1)</f>
      </c>
    </row>
    <row r="8" spans="1:5" x14ac:dyDescent="0.25">
      <c r="A8" s="18" t="s">
        <v>56</v>
      </c>
      <c r="B8" s="19">
        <f>SUM(B4:B7)</f>
      </c>
      <c r="C8" s="20">
        <f>ROUND(AVERAGE('Service Rates'!$G$6:$G$18),0)</f>
      </c>
      <c r="D8" s="20">
        <f>SUM('Service Rates'!$G$6:$G$18)</f>
      </c>
      <c r="E8" s="19">
        <f>ROUND(AVERAGE('Service Rates'!$F$6:$F$18),1)</f>
      </c>
    </row>
    <row r="10" spans="1:1" x14ac:dyDescent="0.25">
      <c r="A10" s="26" t="s">
        <v>57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Service Rates</vt:lpstr>
      <vt:lpstr>By Category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Drafting Studio</dc:creator>
  <dc:title/>
  <dc:subject/>
  <dc:description/>
  <cp:keywords/>
  <cp:category/>
  <cp:lastModifiedBy>Unknown</cp:lastModifiedBy>
  <dcterms:created xsi:type="dcterms:W3CDTF">2026-09-09T08:28:22Z</dcterms:created>
  <dcterms:modified xsi:type="dcterms:W3CDTF">2026-09-09T08:28:22Z</dcterms:modified>
</cp:coreProperties>
</file>